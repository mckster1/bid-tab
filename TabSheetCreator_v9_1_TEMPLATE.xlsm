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T:\Estimating\Tab Sheet AI Project Documents\February Build\v9\"/>
    </mc:Choice>
  </mc:AlternateContent>
  <xr:revisionPtr revIDLastSave="0" documentId="13_ncr:1_{507DB085-8CEF-49CD-A7E1-B7436DA2FFFA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Dashboard" sheetId="1" r:id="rId1"/>
    <sheet name="Config_CSI" sheetId="2" r:id="rId2"/>
    <sheet name="TradeTemplate" sheetId="3" r:id="rId3"/>
  </sheets>
  <functionGroups builtInGroupCount="19"/>
  <definedNames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2" i="3" l="1"/>
  <c r="H13" i="3" s="1"/>
  <c r="H22" i="3" l="1"/>
</calcChain>
</file>

<file path=xl/sharedStrings.xml><?xml version="1.0" encoding="utf-8"?>
<sst xmlns="http://schemas.openxmlformats.org/spreadsheetml/2006/main" count="141" uniqueCount="135">
  <si>
    <t>Tab Sheet Creator v8 Template</t>
  </si>
  <si>
    <t>1) Fill Config_CSI rows and set Create=TRUE for desired trades.</t>
  </si>
  <si>
    <t>2) In the .xlsm version, run GenerateTradeTabs_v8 to create trade tabs.</t>
  </si>
  <si>
    <t>3) Use Add Bidder / Add Scope / Add Alternate buttons on each trade tab.</t>
  </si>
  <si>
    <t>TradeName</t>
  </si>
  <si>
    <t>CSI_Code</t>
  </si>
  <si>
    <t>ShortName</t>
  </si>
  <si>
    <t>Create</t>
  </si>
  <si>
    <t>DefaultScopeLines</t>
  </si>
  <si>
    <t>General Conditions</t>
  </si>
  <si>
    <t>GENERAL</t>
  </si>
  <si>
    <t>Mobilization|Supervision|Temporary facilities|Temporary utilities|Safety &amp; protection|Cleanup</t>
  </si>
  <si>
    <t>Selective Demolition</t>
  </si>
  <si>
    <t>DEMO</t>
  </si>
  <si>
    <t>Selective demolition per plans|Protection of existing|Disposal &amp; haul-off|Dust control|Temporary barricades</t>
  </si>
  <si>
    <t>Concrete</t>
  </si>
  <si>
    <t>CONCRETE</t>
  </si>
  <si>
    <t>Slab on grade|Footings|Foundations|Reinforcing steel|Formwork|Finishing|Curing</t>
  </si>
  <si>
    <t>Masonry</t>
  </si>
  <si>
    <t>MASONRY</t>
  </si>
  <si>
    <t>CMU walls|Brick veneer|Lintels|Reinforcement|Grout|Cleaning</t>
  </si>
  <si>
    <t>Structural Steel</t>
  </si>
  <si>
    <t>STEEL</t>
  </si>
  <si>
    <t>Structural steel supply|Structural steel erection|Shop drawings|Bolting &amp; welding|Priming</t>
  </si>
  <si>
    <t>Metal Fabrications</t>
  </si>
  <si>
    <t>METAL</t>
  </si>
  <si>
    <t>Misc metals|Stairs|Handrails &amp; guardrails|Ladders|Embed plates</t>
  </si>
  <si>
    <t>Rough Carpentry</t>
  </si>
  <si>
    <t>CARPENTRY</t>
  </si>
  <si>
    <t>Framing|Blocking|Sheathing|Roof framing|Equipment curbs</t>
  </si>
  <si>
    <t>Architectural Woodwork</t>
  </si>
  <si>
    <t>MILLWORK</t>
  </si>
  <si>
    <t>Casework|Countertops|Trim|Installation|Shop drawings</t>
  </si>
  <si>
    <t>Waterproofing</t>
  </si>
  <si>
    <t>WATERPROOF</t>
  </si>
  <si>
    <t>Below-grade waterproofing|Air/vapor barrier|Flashing|Sealants</t>
  </si>
  <si>
    <t>Roofing</t>
  </si>
  <si>
    <t>ROOFING</t>
  </si>
  <si>
    <t>Tear-off|Roof insulation|Membrane roofing|Flashing|Edge metal|Roof accessories|Warranty</t>
  </si>
  <si>
    <t>Insulation</t>
  </si>
  <si>
    <t>INSULATION</t>
  </si>
  <si>
    <t>Thermal insulation|Sound insulation|Fire safing</t>
  </si>
  <si>
    <t>Doors &amp; Frames</t>
  </si>
  <si>
    <t>DOORS</t>
  </si>
  <si>
    <t>Hollow metal doors &amp; frames|Hardware coordination|Installation</t>
  </si>
  <si>
    <t>Windows &amp; Glazing</t>
  </si>
  <si>
    <t>GLAZING</t>
  </si>
  <si>
    <t>Storefront glazing|Curtain wall|Glass &amp; glazing|Sealants</t>
  </si>
  <si>
    <t>Gypsum Board</t>
  </si>
  <si>
    <t>GYPSUM</t>
  </si>
  <si>
    <t>Metal studs|Drywall|Taping &amp; finishing|Soffits|Fire-rated assemblies</t>
  </si>
  <si>
    <t>Tile</t>
  </si>
  <si>
    <t>TILE</t>
  </si>
  <si>
    <t>Floor tile|Wall tile|Backer board|Grout &amp; sealers</t>
  </si>
  <si>
    <t>Flooring</t>
  </si>
  <si>
    <t>FLOORING</t>
  </si>
  <si>
    <t>Carpet|LVT|VCT|Base|Transitions</t>
  </si>
  <si>
    <t>Painting</t>
  </si>
  <si>
    <t>PAINT</t>
  </si>
  <si>
    <t>Surface prep|Prime|Paint walls|Paint ceilings|Paint exposed steel|Paint handrails &amp; guardrails</t>
  </si>
  <si>
    <t>Signage</t>
  </si>
  <si>
    <t>SIGNAGE</t>
  </si>
  <si>
    <t>Interior signage|Exterior signage|Code-required signage</t>
  </si>
  <si>
    <t>Toilet Accessories</t>
  </si>
  <si>
    <t>TOILET</t>
  </si>
  <si>
    <t>Toilet accessories|Grab bars|Mirrors|Dispensers</t>
  </si>
  <si>
    <t>Specialties</t>
  </si>
  <si>
    <t>SPECIAL</t>
  </si>
  <si>
    <t>Corner guards|Fire extinguishers|Louvers</t>
  </si>
  <si>
    <t>Fire Protection</t>
  </si>
  <si>
    <t>FIRE</t>
  </si>
  <si>
    <t>Fire sprinkler system|Heads &amp; piping|Permits|Testing &amp; inspection</t>
  </si>
  <si>
    <t>Plumbing</t>
  </si>
  <si>
    <t>PLUMBING</t>
  </si>
  <si>
    <t>Domestic water|Sanitary waste|Vent piping|Fixtures|Testing</t>
  </si>
  <si>
    <t>HVAC</t>
  </si>
  <si>
    <t>Rooftop units|Ductwork|Controls|Testing &amp; balancing|Startup</t>
  </si>
  <si>
    <t>Electrical</t>
  </si>
  <si>
    <t>ELECTRICAL</t>
  </si>
  <si>
    <t>Temporary power to job trailer|Lighting &amp; controls|Power distribution|Devices|Panels|Testing &amp; inspection</t>
  </si>
  <si>
    <t>Communications</t>
  </si>
  <si>
    <t>COMM</t>
  </si>
  <si>
    <t>Data cabling|Rough-in|Termination|Testing</t>
  </si>
  <si>
    <t>Electronic Safety &amp; Security</t>
  </si>
  <si>
    <t>SECURITY</t>
  </si>
  <si>
    <t>Fire alarm|Access control|Cameras|Monitoring</t>
  </si>
  <si>
    <t>Earthwork</t>
  </si>
  <si>
    <t>EARTHWORK</t>
  </si>
  <si>
    <t>Excavation|Backfill|Grading|Compaction|Export soil</t>
  </si>
  <si>
    <t>Site Concrete</t>
  </si>
  <si>
    <t>SITE</t>
  </si>
  <si>
    <t>Sidewalks|Curb &amp; gutter|Flatwork|ADA ramps</t>
  </si>
  <si>
    <t>Utilities</t>
  </si>
  <si>
    <t>UTILITIES</t>
  </si>
  <si>
    <t>Water service|Sanitary service|Storm service</t>
  </si>
  <si>
    <t>TAB SHEET</t>
  </si>
  <si>
    <t>Trade Name</t>
  </si>
  <si>
    <t>Company</t>
  </si>
  <si>
    <t>BUDGET</t>
  </si>
  <si>
    <t>CSI Code (XX.XXXX)</t>
  </si>
  <si>
    <t>Contact</t>
  </si>
  <si>
    <t>Job Title</t>
  </si>
  <si>
    <t>Phone</t>
  </si>
  <si>
    <t>Estimator</t>
  </si>
  <si>
    <t>Email</t>
  </si>
  <si>
    <t>Bid Date</t>
  </si>
  <si>
    <t>Date Received</t>
  </si>
  <si>
    <t>Job GSF</t>
  </si>
  <si>
    <t>Notes</t>
  </si>
  <si>
    <t>Trade SF (for $/SF)</t>
  </si>
  <si>
    <t>Wizard Action</t>
  </si>
  <si>
    <t>INCLUDE</t>
  </si>
  <si>
    <t>Bid Summary</t>
  </si>
  <si>
    <t>Average Base Bid (included bidders)</t>
  </si>
  <si>
    <t>Base Bid</t>
  </si>
  <si>
    <t>Average Adjusted Base Bid (included bidders)</t>
  </si>
  <si>
    <t>Adjusted Base Bid</t>
  </si>
  <si>
    <t>Average $/SF (included bidders)</t>
  </si>
  <si>
    <t>$/SF (Adjusted ÷ Trade SF)</t>
  </si>
  <si>
    <t>Lowest Adjusted Base Bid (company)</t>
  </si>
  <si>
    <t>Lowest Adjusted Base Bid ($)</t>
  </si>
  <si>
    <t>Scope Lines (regular + exclusions; exclusions shaded light red)</t>
  </si>
  <si>
    <t>#</t>
  </si>
  <si>
    <t>Scope Item / Description</t>
  </si>
  <si>
    <t>Qty</t>
  </si>
  <si>
    <t>Unit</t>
  </si>
  <si>
    <t>Add to Adjusted?</t>
  </si>
  <si>
    <t>Budget Amount</t>
  </si>
  <si>
    <t>ADD SCOPE LINE</t>
  </si>
  <si>
    <t>Alternates</t>
  </si>
  <si>
    <t>Alternate / Description</t>
  </si>
  <si>
    <t>Budget Alt</t>
  </si>
  <si>
    <t>Alternate 1:</t>
  </si>
  <si>
    <t>Alternate 1 + Adjusted Base Bid</t>
  </si>
  <si>
    <t>ADD ALTERNATE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</si>
</sst>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\$#,##0.00"/>
    <numFmt numFmtId="165" formatCode="&quot;$&quot;#,##0"/>
    <numFmt numFmtId="166" formatCode="&quot;$&quot;#,##0.00"/>
  </numFmts>
  <fonts count="8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4"/>
      <name val="Calibri"/>
    </font>
    <font>
      <b/>
      <sz val="11"/>
      <name val="Calibri"/>
    </font>
    <font>
      <b/>
      <sz val="12"/>
      <name val="Calibri"/>
    </font>
    <font>
      <b/>
      <sz val="14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D9E1F2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2F2F2"/>
      </patternFill>
    </fill>
    <fill>
      <patternFill patternType="solid">
        <fgColor rgb="FFFFF7E6"/>
      </patternFill>
    </fill>
    <fill>
      <patternFill patternType="solid">
        <fgColor rgb="FFE9F1FF"/>
      </patternFill>
    </fill>
  </fills>
  <borders count="5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</borders>
  <cellStyleXfs count="1">
    <xf numFmtId="0" fontId="0" fillId="0" borderId="0"/>
  </cellStyleXfs>
  <cellXfs count="30">
    <xf numFmtId="0" fontId="0" fillId="0" borderId="0" xfId="0"/>
    <xf numFmtId="49" fontId="1" fillId="2" borderId="0" xfId="0" applyNumberFormat="1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49" fontId="0" fillId="3" borderId="1" xfId="0" applyNumberFormat="1" applyFill="1" applyBorder="1"/>
    <xf numFmtId="49" fontId="0" fillId="3" borderId="2" xfId="0" applyNumberFormat="1" applyFill="1" applyBorder="1"/>
    <xf numFmtId="49" fontId="0" fillId="3" borderId="3" xfId="0" applyNumberFormat="1" applyFill="1" applyBorder="1"/>
    <xf numFmtId="0" fontId="0" fillId="0" borderId="0" xfId="0" applyAlignment="1">
      <alignment vertical="center" wrapText="1"/>
    </xf>
    <xf numFmtId="49" fontId="0" fillId="0" borderId="1" xfId="0" applyNumberFormat="1" applyBorder="1"/>
    <xf numFmtId="49" fontId="0" fillId="0" borderId="2" xfId="0" applyNumberFormat="1" applyBorder="1"/>
    <xf numFmtId="49" fontId="0" fillId="0" borderId="3" xfId="0" applyNumberFormat="1" applyBorder="1"/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3" fillId="4" borderId="4" xfId="0" applyFont="1" applyFill="1" applyBorder="1" applyAlignment="1">
      <alignment horizontal="left" vertical="center"/>
    </xf>
    <xf numFmtId="0" fontId="3" fillId="0" borderId="4" xfId="0" applyFont="1" applyBorder="1" applyAlignment="1">
      <alignment horizontal="center" vertical="center"/>
    </xf>
    <xf numFmtId="0" fontId="0" fillId="5" borderId="4" xfId="0" applyFill="1" applyBorder="1" applyAlignment="1">
      <alignment horizontal="left" vertical="center"/>
    </xf>
    <xf numFmtId="0" fontId="0" fillId="6" borderId="4" xfId="0" applyFill="1" applyBorder="1"/>
    <xf numFmtId="0" fontId="4" fillId="6" borderId="4" xfId="0" applyFont="1" applyFill="1" applyBorder="1"/>
    <xf numFmtId="164" fontId="3" fillId="0" borderId="0" xfId="0" applyNumberFormat="1" applyFont="1" applyAlignment="1">
      <alignment horizontal="left" vertical="center"/>
    </xf>
    <xf numFmtId="165" fontId="0" fillId="0" borderId="4" xfId="0" applyNumberFormat="1" applyBorder="1" applyAlignment="1">
      <alignment horizontal="center" vertical="center"/>
    </xf>
    <xf numFmtId="2" fontId="3" fillId="0" borderId="0" xfId="0" applyNumberFormat="1" applyFont="1" applyAlignment="1">
      <alignment horizontal="left" vertical="center"/>
    </xf>
    <xf numFmtId="166" fontId="0" fillId="0" borderId="4" xfId="0" applyNumberFormat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0" fillId="5" borderId="4" xfId="0" applyFill="1" applyBorder="1"/>
    <xf numFmtId="0" fontId="1" fillId="5" borderId="4" xfId="0" applyFont="1" applyFill="1" applyBorder="1" applyAlignment="1">
      <alignment horizontal="left" vertical="top"/>
    </xf>
    <xf numFmtId="0" fontId="0" fillId="0" borderId="4" xfId="0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3" fillId="5" borderId="4" xfId="0" applyFont="1" applyFill="1" applyBorder="1"/>
    <xf numFmtId="0" fontId="0" fillId="3" borderId="2" xfId="0" applyFill="1" applyBorder="1"/>
    <xf numFmtId="0" fontId="0" fillId="0" borderId="2" xfId="0" applyBorder="1"/>
  </cellXfs>
  <cellStyles count="1">
    <cellStyle name="Normal" xfId="0" builtinId="0"/>
  </cellStyles>
  <dxfs count="1">
    <dxf>
      <font>
        <b/>
      </font>
      <fill>
        <patternFill>
          <bgColor rgb="FFFFECEC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19050</xdr:rowOff>
        </xdr:from>
        <xdr:to>
          <xdr:col>1</xdr:col>
          <xdr:colOff>2209800</xdr:colOff>
          <xdr:row>0</xdr:row>
          <xdr:rowOff>257175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Trade Tabs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1</xdr:row>
          <xdr:rowOff>28575</xdr:rowOff>
        </xdr:from>
        <xdr:to>
          <xdr:col>5</xdr:col>
          <xdr:colOff>962025</xdr:colOff>
          <xdr:row>2</xdr:row>
          <xdr:rowOff>161925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Bidder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</xdr:colOff>
          <xdr:row>7</xdr:row>
          <xdr:rowOff>19050</xdr:rowOff>
        </xdr:from>
        <xdr:to>
          <xdr:col>7</xdr:col>
          <xdr:colOff>895350</xdr:colOff>
          <xdr:row>8</xdr:row>
          <xdr:rowOff>161925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Scope Wizard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16</xdr:row>
          <xdr:rowOff>38100</xdr:rowOff>
        </xdr:from>
        <xdr:to>
          <xdr:col>1</xdr:col>
          <xdr:colOff>2228850</xdr:colOff>
          <xdr:row>17</xdr:row>
          <xdr:rowOff>133350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Scope/Exclusions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22</xdr:row>
          <xdr:rowOff>28575</xdr:rowOff>
        </xdr:from>
        <xdr:to>
          <xdr:col>1</xdr:col>
          <xdr:colOff>2228850</xdr:colOff>
          <xdr:row>23</xdr:row>
          <xdr:rowOff>152400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An Alternate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57150</xdr:rowOff>
        </xdr:from>
        <xdr:to>
          <xdr:col>5</xdr:col>
          <xdr:colOff>1362075</xdr:colOff>
          <xdr:row>12</xdr:row>
          <xdr:rowOff>9525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By 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1400175</xdr:colOff>
          <xdr:row>10</xdr:row>
          <xdr:rowOff>57150</xdr:rowOff>
        </xdr:from>
        <xdr:to>
          <xdr:col>5</xdr:col>
          <xdr:colOff>2581275</xdr:colOff>
          <xdr:row>12</xdr:row>
          <xdr:rowOff>9525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69F2CF60-44F6-E7E3-ED47-3B18250D36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By Adjusted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219075</xdr:rowOff>
        </xdr:from>
        <xdr:to>
          <xdr:col>1</xdr:col>
          <xdr:colOff>590550</xdr:colOff>
          <xdr:row>17</xdr:row>
          <xdr:rowOff>457200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8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5"/>
  <sheetViews>
    <sheetView workbookViewId="0"/>
  </sheetViews>
  <sheetFormatPr defaultRowHeight="15" x14ac:dyDescent="0.25"/>
  <sheetData>
    <row r="1" spans="1:1" x14ac:dyDescent="0.25">
      <c r="A1" t="s">
        <v>0</v>
      </c>
    </row>
    <row r="3" spans="1:1" x14ac:dyDescent="0.25">
      <c r="A3" t="s">
        <v>1</v>
      </c>
    </row>
    <row r="4" spans="1:1" x14ac:dyDescent="0.25">
      <c r="A4" t="s">
        <v>2</v>
      </c>
    </row>
    <row r="5" spans="1:1" x14ac:dyDescent="0.25">
      <c r="A5" t="s">
        <v>3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K30"/>
  <sheetViews>
    <sheetView workbookViewId="0">
      <selection activeCell="D5" sqref="D5"/>
    </sheetView>
  </sheetViews>
  <sheetFormatPr defaultRowHeight="15" x14ac:dyDescent="0.25"/>
  <cols>
    <col min="1" max="1" width="30" customWidth="1"/>
    <col min="2" max="2" width="18" customWidth="1"/>
    <col min="4" max="4" width="18" customWidth="1"/>
    <col min="5" max="5" width="100.42578125" customWidth="1"/>
  </cols>
  <sheetData>
    <row r="1" spans="1:11" ht="30" customHeight="1" x14ac:dyDescent="0.25">
      <c r="A1" s="1" t="s">
        <v>4</v>
      </c>
      <c r="B1" s="1" t="s">
        <v>5</v>
      </c>
      <c r="C1" s="1" t="s">
        <v>6</v>
      </c>
      <c r="D1" s="2" t="s">
        <v>7</v>
      </c>
      <c r="E1" s="1" t="s">
        <v>8</v>
      </c>
    </row>
    <row r="2" spans="1:11" x14ac:dyDescent="0.25">
      <c r="A2" s="3" t="s">
        <v>9</v>
      </c>
      <c r="B2" s="4">
        <v>1</v>
      </c>
      <c r="C2" s="4" t="s">
        <v>10</v>
      </c>
      <c r="D2" s="28" t="b">
        <v>1</v>
      </c>
      <c r="E2" s="5" t="s">
        <v>11</v>
      </c>
      <c r="F2" s="6"/>
      <c r="G2" s="6"/>
      <c r="H2" s="6"/>
      <c r="I2" s="6"/>
      <c r="J2" s="6"/>
    </row>
    <row r="3" spans="1:11" x14ac:dyDescent="0.25">
      <c r="A3" s="7" t="s">
        <v>12</v>
      </c>
      <c r="B3" s="8">
        <v>2.41</v>
      </c>
      <c r="C3" s="8" t="s">
        <v>13</v>
      </c>
      <c r="D3" s="29" t="b">
        <v>1</v>
      </c>
      <c r="E3" s="9" t="s">
        <v>14</v>
      </c>
      <c r="F3" s="6"/>
      <c r="G3" s="6"/>
      <c r="H3" s="6"/>
      <c r="I3" s="6"/>
    </row>
    <row r="4" spans="1:11" x14ac:dyDescent="0.25">
      <c r="A4" s="3" t="s">
        <v>15</v>
      </c>
      <c r="B4" s="4">
        <v>3.3</v>
      </c>
      <c r="C4" s="4" t="s">
        <v>16</v>
      </c>
      <c r="D4" s="28" t="b">
        <v>1</v>
      </c>
      <c r="E4" s="5" t="s">
        <v>17</v>
      </c>
      <c r="F4" s="6"/>
      <c r="G4" s="6"/>
      <c r="H4" s="6"/>
      <c r="I4" s="6"/>
      <c r="J4" s="6"/>
      <c r="K4" s="6"/>
    </row>
    <row r="5" spans="1:11" x14ac:dyDescent="0.25">
      <c r="A5" s="7" t="s">
        <v>18</v>
      </c>
      <c r="B5" s="8">
        <v>4.2</v>
      </c>
      <c r="C5" s="8" t="s">
        <v>19</v>
      </c>
      <c r="D5" s="28" t="b">
        <v>1</v>
      </c>
      <c r="E5" s="9" t="s">
        <v>20</v>
      </c>
      <c r="F5" s="6"/>
      <c r="G5" s="6"/>
      <c r="H5" s="6"/>
      <c r="I5" s="6"/>
      <c r="J5" s="6"/>
    </row>
    <row r="6" spans="1:11" x14ac:dyDescent="0.25">
      <c r="A6" s="3" t="s">
        <v>21</v>
      </c>
      <c r="B6" s="4">
        <v>5.12</v>
      </c>
      <c r="C6" s="4" t="s">
        <v>22</v>
      </c>
      <c r="D6" s="28" t="b">
        <v>0</v>
      </c>
      <c r="E6" s="5" t="s">
        <v>23</v>
      </c>
      <c r="F6" s="6"/>
      <c r="G6" s="6"/>
      <c r="H6" s="6"/>
      <c r="I6" s="6"/>
    </row>
    <row r="7" spans="1:11" x14ac:dyDescent="0.25">
      <c r="A7" s="7" t="s">
        <v>24</v>
      </c>
      <c r="B7" s="8">
        <v>5.5</v>
      </c>
      <c r="C7" s="8" t="s">
        <v>25</v>
      </c>
      <c r="D7" s="28" t="b">
        <v>0</v>
      </c>
      <c r="E7" s="9" t="s">
        <v>26</v>
      </c>
      <c r="F7" s="6"/>
      <c r="G7" s="6"/>
      <c r="H7" s="6"/>
      <c r="I7" s="6"/>
    </row>
    <row r="8" spans="1:11" x14ac:dyDescent="0.25">
      <c r="A8" s="3" t="s">
        <v>27</v>
      </c>
      <c r="B8" s="4">
        <v>6.1</v>
      </c>
      <c r="C8" s="4" t="s">
        <v>28</v>
      </c>
      <c r="D8" s="28" t="b">
        <v>0</v>
      </c>
      <c r="E8" s="5" t="s">
        <v>29</v>
      </c>
      <c r="F8" s="6"/>
      <c r="G8" s="6"/>
      <c r="H8" s="6"/>
      <c r="I8" s="6"/>
    </row>
    <row r="9" spans="1:11" x14ac:dyDescent="0.25">
      <c r="A9" s="7" t="s">
        <v>30</v>
      </c>
      <c r="B9" s="8">
        <v>6.4</v>
      </c>
      <c r="C9" s="8" t="s">
        <v>31</v>
      </c>
      <c r="D9" s="28" t="b">
        <v>0</v>
      </c>
      <c r="E9" s="9" t="s">
        <v>32</v>
      </c>
      <c r="F9" s="6"/>
      <c r="G9" s="6"/>
      <c r="H9" s="6"/>
      <c r="I9" s="6"/>
    </row>
    <row r="10" spans="1:11" x14ac:dyDescent="0.25">
      <c r="A10" s="3" t="s">
        <v>33</v>
      </c>
      <c r="B10" s="4">
        <v>7.1</v>
      </c>
      <c r="C10" s="4" t="s">
        <v>34</v>
      </c>
      <c r="D10" s="28" t="b">
        <v>0</v>
      </c>
      <c r="E10" s="5" t="s">
        <v>35</v>
      </c>
      <c r="F10" s="6"/>
      <c r="G10" s="6"/>
      <c r="H10" s="6"/>
    </row>
    <row r="11" spans="1:11" x14ac:dyDescent="0.25">
      <c r="A11" s="7" t="s">
        <v>36</v>
      </c>
      <c r="B11" s="8">
        <v>7.5</v>
      </c>
      <c r="C11" s="8" t="s">
        <v>37</v>
      </c>
      <c r="D11" s="28" t="b">
        <v>0</v>
      </c>
      <c r="E11" s="9" t="s">
        <v>38</v>
      </c>
      <c r="F11" s="6"/>
      <c r="G11" s="6"/>
      <c r="H11" s="6"/>
      <c r="I11" s="6"/>
      <c r="J11" s="6"/>
      <c r="K11" s="6"/>
    </row>
    <row r="12" spans="1:11" x14ac:dyDescent="0.25">
      <c r="A12" s="3" t="s">
        <v>39</v>
      </c>
      <c r="B12" s="4">
        <v>7.2</v>
      </c>
      <c r="C12" s="4" t="s">
        <v>40</v>
      </c>
      <c r="D12" s="28" t="b">
        <v>0</v>
      </c>
      <c r="E12" s="5" t="s">
        <v>41</v>
      </c>
      <c r="F12" s="6"/>
      <c r="G12" s="6"/>
    </row>
    <row r="13" spans="1:11" x14ac:dyDescent="0.25">
      <c r="A13" s="7" t="s">
        <v>42</v>
      </c>
      <c r="B13" s="8">
        <v>8.1</v>
      </c>
      <c r="C13" s="8" t="s">
        <v>43</v>
      </c>
      <c r="D13" s="28" t="b">
        <v>0</v>
      </c>
      <c r="E13" s="9" t="s">
        <v>44</v>
      </c>
      <c r="F13" s="6"/>
      <c r="G13" s="6"/>
    </row>
    <row r="14" spans="1:11" x14ac:dyDescent="0.25">
      <c r="A14" s="3" t="s">
        <v>45</v>
      </c>
      <c r="B14" s="4">
        <v>8.5</v>
      </c>
      <c r="C14" s="4" t="s">
        <v>46</v>
      </c>
      <c r="D14" s="28" t="b">
        <v>0</v>
      </c>
      <c r="E14" s="5" t="s">
        <v>47</v>
      </c>
      <c r="F14" s="6"/>
      <c r="G14" s="6"/>
      <c r="H14" s="6"/>
    </row>
    <row r="15" spans="1:11" x14ac:dyDescent="0.25">
      <c r="A15" s="7" t="s">
        <v>48</v>
      </c>
      <c r="B15" s="8">
        <v>9.1999999999999993</v>
      </c>
      <c r="C15" s="8" t="s">
        <v>49</v>
      </c>
      <c r="D15" s="28" t="b">
        <v>0</v>
      </c>
      <c r="E15" s="9" t="s">
        <v>50</v>
      </c>
      <c r="F15" s="6"/>
      <c r="G15" s="6"/>
      <c r="H15" s="6"/>
      <c r="I15" s="6"/>
    </row>
    <row r="16" spans="1:11" x14ac:dyDescent="0.25">
      <c r="A16" s="3" t="s">
        <v>51</v>
      </c>
      <c r="B16" s="4">
        <v>9.3000000000000007</v>
      </c>
      <c r="C16" s="4" t="s">
        <v>52</v>
      </c>
      <c r="D16" s="28" t="b">
        <v>0</v>
      </c>
      <c r="E16" s="5" t="s">
        <v>53</v>
      </c>
      <c r="F16" s="6"/>
      <c r="G16" s="6"/>
      <c r="H16" s="6"/>
    </row>
    <row r="17" spans="1:10" x14ac:dyDescent="0.25">
      <c r="A17" s="7" t="s">
        <v>54</v>
      </c>
      <c r="B17" s="8">
        <v>9.6</v>
      </c>
      <c r="C17" s="8" t="s">
        <v>55</v>
      </c>
      <c r="D17" s="28" t="b">
        <v>0</v>
      </c>
      <c r="E17" s="9" t="s">
        <v>56</v>
      </c>
      <c r="F17" s="6"/>
      <c r="G17" s="6"/>
      <c r="H17" s="6"/>
      <c r="I17" s="6"/>
    </row>
    <row r="18" spans="1:10" x14ac:dyDescent="0.25">
      <c r="A18" s="3" t="s">
        <v>57</v>
      </c>
      <c r="B18" s="4">
        <v>9.9</v>
      </c>
      <c r="C18" s="4" t="s">
        <v>58</v>
      </c>
      <c r="D18" s="28" t="b">
        <v>0</v>
      </c>
      <c r="E18" s="5" t="s">
        <v>59</v>
      </c>
      <c r="F18" s="6"/>
      <c r="G18" s="6"/>
      <c r="H18" s="6"/>
      <c r="I18" s="6"/>
      <c r="J18" s="6"/>
    </row>
    <row r="19" spans="1:10" x14ac:dyDescent="0.25">
      <c r="A19" s="7" t="s">
        <v>60</v>
      </c>
      <c r="B19" s="8">
        <v>10.14</v>
      </c>
      <c r="C19" s="8" t="s">
        <v>61</v>
      </c>
      <c r="D19" s="28" t="b">
        <v>0</v>
      </c>
      <c r="E19" s="9" t="s">
        <v>62</v>
      </c>
      <c r="F19" s="6"/>
      <c r="G19" s="6"/>
    </row>
    <row r="20" spans="1:10" x14ac:dyDescent="0.25">
      <c r="A20" s="3" t="s">
        <v>63</v>
      </c>
      <c r="B20" s="4">
        <v>10.28</v>
      </c>
      <c r="C20" s="4" t="s">
        <v>64</v>
      </c>
      <c r="D20" s="28" t="b">
        <v>0</v>
      </c>
      <c r="E20" s="5" t="s">
        <v>65</v>
      </c>
      <c r="F20" s="6"/>
      <c r="G20" s="6"/>
      <c r="H20" s="6"/>
    </row>
    <row r="21" spans="1:10" x14ac:dyDescent="0.25">
      <c r="A21" s="7" t="s">
        <v>66</v>
      </c>
      <c r="B21" s="8">
        <v>10</v>
      </c>
      <c r="C21" s="8" t="s">
        <v>67</v>
      </c>
      <c r="D21" s="28" t="b">
        <v>0</v>
      </c>
      <c r="E21" s="9" t="s">
        <v>68</v>
      </c>
      <c r="F21" s="6"/>
      <c r="G21" s="6"/>
    </row>
    <row r="22" spans="1:10" x14ac:dyDescent="0.25">
      <c r="A22" s="3" t="s">
        <v>69</v>
      </c>
      <c r="B22" s="4">
        <v>21.13</v>
      </c>
      <c r="C22" s="4" t="s">
        <v>70</v>
      </c>
      <c r="D22" s="28" t="b">
        <v>0</v>
      </c>
      <c r="E22" s="5" t="s">
        <v>71</v>
      </c>
      <c r="F22" s="6"/>
      <c r="G22" s="6"/>
      <c r="H22" s="6"/>
    </row>
    <row r="23" spans="1:10" x14ac:dyDescent="0.25">
      <c r="A23" s="7" t="s">
        <v>72</v>
      </c>
      <c r="B23" s="8">
        <v>22</v>
      </c>
      <c r="C23" s="8" t="s">
        <v>73</v>
      </c>
      <c r="D23" s="28" t="b">
        <v>0</v>
      </c>
      <c r="E23" s="9" t="s">
        <v>74</v>
      </c>
      <c r="F23" s="6"/>
      <c r="G23" s="6"/>
      <c r="H23" s="6"/>
      <c r="I23" s="6"/>
    </row>
    <row r="24" spans="1:10" x14ac:dyDescent="0.25">
      <c r="A24" s="3" t="s">
        <v>75</v>
      </c>
      <c r="B24" s="4">
        <v>23</v>
      </c>
      <c r="C24" s="4" t="s">
        <v>75</v>
      </c>
      <c r="D24" s="28" t="b">
        <v>0</v>
      </c>
      <c r="E24" s="5" t="s">
        <v>76</v>
      </c>
      <c r="F24" s="6"/>
      <c r="G24" s="6"/>
      <c r="H24" s="6"/>
      <c r="I24" s="6"/>
    </row>
    <row r="25" spans="1:10" x14ac:dyDescent="0.25">
      <c r="A25" s="7" t="s">
        <v>77</v>
      </c>
      <c r="B25" s="8">
        <v>26</v>
      </c>
      <c r="C25" s="8" t="s">
        <v>78</v>
      </c>
      <c r="D25" s="28" t="b">
        <v>0</v>
      </c>
      <c r="E25" s="9" t="s">
        <v>79</v>
      </c>
      <c r="F25" s="6"/>
      <c r="G25" s="6"/>
      <c r="H25" s="6"/>
      <c r="I25" s="6"/>
      <c r="J25" s="6"/>
    </row>
    <row r="26" spans="1:10" x14ac:dyDescent="0.25">
      <c r="A26" s="3" t="s">
        <v>80</v>
      </c>
      <c r="B26" s="4">
        <v>27</v>
      </c>
      <c r="C26" s="4" t="s">
        <v>81</v>
      </c>
      <c r="D26" s="28" t="b">
        <v>0</v>
      </c>
      <c r="E26" s="5" t="s">
        <v>82</v>
      </c>
      <c r="F26" s="6"/>
      <c r="G26" s="6"/>
      <c r="H26" s="6"/>
    </row>
    <row r="27" spans="1:10" x14ac:dyDescent="0.25">
      <c r="A27" s="7" t="s">
        <v>83</v>
      </c>
      <c r="B27" s="8">
        <v>28</v>
      </c>
      <c r="C27" s="8" t="s">
        <v>84</v>
      </c>
      <c r="D27" s="28" t="b">
        <v>0</v>
      </c>
      <c r="E27" s="9" t="s">
        <v>85</v>
      </c>
      <c r="F27" s="6"/>
      <c r="G27" s="6"/>
      <c r="H27" s="6"/>
    </row>
    <row r="28" spans="1:10" x14ac:dyDescent="0.25">
      <c r="A28" s="3" t="s">
        <v>86</v>
      </c>
      <c r="B28" s="4">
        <v>31.2</v>
      </c>
      <c r="C28" s="4" t="s">
        <v>87</v>
      </c>
      <c r="D28" s="28" t="b">
        <v>0</v>
      </c>
      <c r="E28" s="5" t="s">
        <v>88</v>
      </c>
      <c r="F28" s="6"/>
      <c r="G28" s="6"/>
      <c r="H28" s="6"/>
      <c r="I28" s="6"/>
    </row>
    <row r="29" spans="1:10" x14ac:dyDescent="0.25">
      <c r="A29" s="7" t="s">
        <v>89</v>
      </c>
      <c r="B29" s="8">
        <v>32.130000000000003</v>
      </c>
      <c r="C29" s="8" t="s">
        <v>90</v>
      </c>
      <c r="D29" s="28" t="b">
        <v>0</v>
      </c>
      <c r="E29" s="9" t="s">
        <v>91</v>
      </c>
      <c r="F29" s="6"/>
      <c r="G29" s="6"/>
    </row>
    <row r="30" spans="1:10" x14ac:dyDescent="0.25">
      <c r="A30" s="3" t="s">
        <v>92</v>
      </c>
      <c r="B30" s="4">
        <v>33</v>
      </c>
      <c r="C30" s="4" t="s">
        <v>93</v>
      </c>
      <c r="D30" s="28" t="b">
        <v>0</v>
      </c>
      <c r="E30" s="5" t="s">
        <v>94</v>
      </c>
      <c r="F30" s="6"/>
      <c r="G30" s="6"/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I23"/>
  <sheetViews>
    <sheetView tabSelected="1" topLeftCell="A6" workbookViewId="0">
      <selection activeCell="B18" sqref="B18"/>
    </sheetView>
  </sheetViews>
  <sheetFormatPr defaultRowHeight="15" x14ac:dyDescent="0.25"/>
  <cols>
    <col min="1" max="1" width="5" customWidth="1"/>
    <col min="2" max="2" width="34" customWidth="1"/>
    <col min="3" max="3" width="8.140625" customWidth="1"/>
    <col min="5" max="5" width="15.7109375" customWidth="1"/>
    <col min="6" max="6" width="39.42578125" customWidth="1"/>
    <col min="7" max="7" width="24" customWidth="1"/>
    <col min="8" max="8" width="16" customWidth="1"/>
    <col min="9" max="9" width="13" customWidth="1"/>
  </cols>
  <sheetData>
    <row r="1" spans="1:9" ht="24" customHeight="1" x14ac:dyDescent="0.25">
      <c r="B1" s="10" t="s">
        <v>95</v>
      </c>
    </row>
    <row r="2" spans="1:9" x14ac:dyDescent="0.25">
      <c r="B2" s="11" t="s">
        <v>96</v>
      </c>
      <c r="C2" s="12"/>
      <c r="G2" s="13" t="s">
        <v>97</v>
      </c>
      <c r="H2" s="14" t="s">
        <v>98</v>
      </c>
    </row>
    <row r="3" spans="1:9" x14ac:dyDescent="0.25">
      <c r="B3" s="11" t="s">
        <v>99</v>
      </c>
      <c r="C3" s="12"/>
      <c r="G3" s="13" t="s">
        <v>100</v>
      </c>
      <c r="H3" s="12"/>
    </row>
    <row r="4" spans="1:9" x14ac:dyDescent="0.25">
      <c r="B4" s="11" t="s">
        <v>101</v>
      </c>
      <c r="C4" s="12"/>
      <c r="G4" s="13" t="s">
        <v>102</v>
      </c>
      <c r="H4" s="12"/>
    </row>
    <row r="5" spans="1:9" x14ac:dyDescent="0.25">
      <c r="B5" s="11" t="s">
        <v>103</v>
      </c>
      <c r="C5" s="12"/>
      <c r="G5" s="13" t="s">
        <v>104</v>
      </c>
      <c r="H5" s="12"/>
    </row>
    <row r="6" spans="1:9" x14ac:dyDescent="0.25">
      <c r="B6" s="11" t="s">
        <v>105</v>
      </c>
      <c r="C6" s="12"/>
      <c r="G6" s="13" t="s">
        <v>106</v>
      </c>
      <c r="H6" s="12"/>
    </row>
    <row r="7" spans="1:9" x14ac:dyDescent="0.25">
      <c r="B7" s="11" t="s">
        <v>107</v>
      </c>
      <c r="C7" s="12"/>
      <c r="G7" s="13" t="s">
        <v>108</v>
      </c>
      <c r="H7" s="12"/>
    </row>
    <row r="8" spans="1:9" x14ac:dyDescent="0.25">
      <c r="B8" s="11" t="s">
        <v>109</v>
      </c>
      <c r="C8" s="12"/>
      <c r="G8" s="13" t="s">
        <v>110</v>
      </c>
      <c r="H8" s="15"/>
      <c r="I8" t="s">
        <v>111</v>
      </c>
    </row>
    <row r="10" spans="1:9" ht="15.75" customHeight="1" x14ac:dyDescent="0.25">
      <c r="A10" s="16"/>
      <c r="B10" s="17" t="s">
        <v>112</v>
      </c>
      <c r="C10" s="16"/>
      <c r="D10" s="16"/>
      <c r="E10" s="16"/>
      <c r="F10" s="16"/>
      <c r="G10" s="16"/>
      <c r="H10" s="16"/>
    </row>
    <row r="11" spans="1:9" x14ac:dyDescent="0.25">
      <c r="B11" s="11" t="s">
        <v>113</v>
      </c>
      <c r="C11" s="18"/>
      <c r="G11" s="13" t="s">
        <v>114</v>
      </c>
      <c r="H11" s="19"/>
    </row>
    <row r="12" spans="1:9" x14ac:dyDescent="0.25">
      <c r="B12" s="11" t="s">
        <v>115</v>
      </c>
      <c r="C12" s="18"/>
      <c r="G12" s="13" t="s">
        <v>116</v>
      </c>
      <c r="H12" s="19">
        <f>IFERROR($H$11+SUM(H16:H17),"")</f>
        <v>0</v>
      </c>
    </row>
    <row r="13" spans="1:9" x14ac:dyDescent="0.25">
      <c r="B13" s="11" t="s">
        <v>117</v>
      </c>
      <c r="C13" s="20"/>
      <c r="G13" s="13" t="s">
        <v>118</v>
      </c>
      <c r="H13" s="21" t="str">
        <f>IFERROR($H$12/$C$8,"")</f>
        <v/>
      </c>
    </row>
    <row r="14" spans="1:9" x14ac:dyDescent="0.25">
      <c r="B14" s="11" t="s">
        <v>119</v>
      </c>
      <c r="C14" s="20"/>
      <c r="D14" s="11" t="s">
        <v>120</v>
      </c>
      <c r="E14" s="18"/>
    </row>
    <row r="15" spans="1:9" ht="15.75" customHeight="1" x14ac:dyDescent="0.25">
      <c r="A15" s="16"/>
      <c r="B15" s="17" t="s">
        <v>121</v>
      </c>
      <c r="C15" s="16"/>
      <c r="D15" s="16"/>
      <c r="E15" s="16"/>
      <c r="F15" s="16"/>
      <c r="G15" s="16"/>
      <c r="H15" s="16"/>
    </row>
    <row r="16" spans="1:9" x14ac:dyDescent="0.25">
      <c r="A16" s="22" t="s">
        <v>122</v>
      </c>
      <c r="B16" s="22" t="s">
        <v>123</v>
      </c>
      <c r="C16" s="22" t="s">
        <v>124</v>
      </c>
      <c r="D16" s="22" t="s">
        <v>125</v>
      </c>
      <c r="E16" s="13" t="s">
        <v>126</v>
      </c>
      <c r="F16" s="22" t="s">
        <v>108</v>
      </c>
      <c r="H16" s="22" t="s">
        <v>127</v>
      </c>
    </row>
    <row r="17" spans="1:8" x14ac:dyDescent="0.25">
      <c r="A17" s="23"/>
      <c r="B17" s="24" t="s">
        <v>128</v>
      </c>
      <c r="C17" s="23"/>
      <c r="D17" s="23"/>
      <c r="E17" s="23"/>
      <c r="F17" s="23"/>
      <c r="G17" s="23"/>
      <c r="H17" s="23"/>
    </row>
    <row r="18" spans="1:8" ht="54" customHeight="1" x14ac:dyDescent="0.25"/>
    <row r="19" spans="1:8" ht="19.5" customHeight="1" x14ac:dyDescent="0.25">
      <c r="A19" s="16"/>
      <c r="B19" s="17" t="s">
        <v>129</v>
      </c>
      <c r="C19" s="16"/>
      <c r="D19" s="16"/>
      <c r="E19" s="16"/>
      <c r="F19" s="16"/>
      <c r="G19" s="16"/>
      <c r="H19" s="16"/>
    </row>
    <row r="20" spans="1:8" ht="19.5" customHeight="1" x14ac:dyDescent="0.25">
      <c r="A20" s="22" t="s">
        <v>122</v>
      </c>
      <c r="B20" s="22" t="s">
        <v>130</v>
      </c>
      <c r="C20" s="22" t="s">
        <v>124</v>
      </c>
      <c r="D20" s="22" t="s">
        <v>125</v>
      </c>
      <c r="F20" s="22" t="s">
        <v>108</v>
      </c>
      <c r="H20" s="22" t="s">
        <v>131</v>
      </c>
    </row>
    <row r="21" spans="1:8" x14ac:dyDescent="0.25">
      <c r="A21" s="25">
        <v>1</v>
      </c>
      <c r="B21" s="12" t="s">
        <v>132</v>
      </c>
      <c r="C21" s="25"/>
      <c r="D21" s="25"/>
      <c r="F21" s="12"/>
      <c r="H21" s="19"/>
    </row>
    <row r="22" spans="1:8" x14ac:dyDescent="0.25">
      <c r="A22" s="25"/>
      <c r="B22" s="26" t="s">
        <v>133</v>
      </c>
      <c r="C22" s="25"/>
      <c r="D22" s="25"/>
      <c r="F22" s="12"/>
      <c r="H22" s="19">
        <f>IFERROR($H$12+H21,"")</f>
        <v>0</v>
      </c>
    </row>
    <row r="23" spans="1:8" x14ac:dyDescent="0.25">
      <c r="A23" s="23"/>
      <c r="B23" s="27" t="s">
        <v>134</v>
      </c>
      <c r="C23" s="23"/>
      <c r="D23" s="23"/>
      <c r="E23" s="23"/>
      <c r="F23" s="23"/>
      <c r="G23" s="23"/>
      <c r="H23" s="23"/>
    </row>
  </sheetData>
  <conditionalFormatting sqref="A16:H17">
    <cfRule type="expression" dxfId="0" priority="1" stopIfTrue="1">
      <formula>OR(LEFT($B17,10)="EXCEPTION:",LEFT($B17,10)="EXCLUSION:")</formula>
    </cfRule>
  </conditionalFormatting>
  <dataValidations count="1">
    <dataValidation type="list" allowBlank="1" showInputMessage="1" showErrorMessage="1" sqref="I8 J8 K8 L8 M8 N8 O8 P8 Q8 R8 S8 T8 U8 V8 W8 X8 Y8 Z8 AA8 AB8 AC8 AD8 AE8 AF8 AG8 AH8 AI8 AJ8 AK8 AL8 AM8 AN8 AO8 AP8 AQ8 AR8 AS8 AT8 AU8 AV8 AW8" xr:uid="{00000000-0002-0000-0200-000000000000}">
      <formula1>"INCLUDE,EXCLUDE"</formula1>
    </dataValidation>
  </dataValidation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nerateTradeTabs_v9_1">
                <anchor moveWithCells="1" sizeWithCells="1">
                  <from>
                    <xdr:col>1</xdr:col>
                    <xdr:colOff>9525</xdr:colOff>
                    <xdr:row>0</xdr:row>
                    <xdr:rowOff>19050</xdr:rowOff>
                  </from>
                  <to>
                    <xdr:col>1</xdr:col>
                    <xdr:colOff>2209800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AddBidder_v9_1">
                <anchor moveWithCells="1" sizeWithCells="1">
                  <from>
                    <xdr:col>5</xdr:col>
                    <xdr:colOff>28575</xdr:colOff>
                    <xdr:row>1</xdr:row>
                    <xdr:rowOff>28575</xdr:rowOff>
                  </from>
                  <to>
                    <xdr:col>5</xdr:col>
                    <xdr:colOff>962025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ReEnterScopeAndAlternates_ActiveColumn_v9">
                <anchor moveWithCells="1" sizeWithCells="1">
                  <from>
                    <xdr:col>7</xdr:col>
                    <xdr:colOff>190500</xdr:colOff>
                    <xdr:row>7</xdr:row>
                    <xdr:rowOff>19050</xdr:rowOff>
                  </from>
                  <to>
                    <xdr:col>7</xdr:col>
                    <xdr:colOff>895350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AddScopeLine_v9_1">
                <anchor moveWithCells="1" sizeWithCells="1">
                  <from>
                    <xdr:col>1</xdr:col>
                    <xdr:colOff>28575</xdr:colOff>
                    <xdr:row>16</xdr:row>
                    <xdr:rowOff>38100</xdr:rowOff>
                  </from>
                  <to>
                    <xdr:col>1</xdr:col>
                    <xdr:colOff>2228850</xdr:colOff>
                    <xdr:row>17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AddAlternate_v9_1">
                <anchor moveWithCells="1">
                  <from>
                    <xdr:col>1</xdr:col>
                    <xdr:colOff>28575</xdr:colOff>
                    <xdr:row>22</xdr:row>
                    <xdr:rowOff>28575</xdr:rowOff>
                  </from>
                  <to>
                    <xdr:col>1</xdr:col>
                    <xdr:colOff>2228850</xdr:colOff>
                    <xdr:row>23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SortBidders_ByBaseBid_v9_1">
                <anchor moveWithCells="1">
                  <from>
                    <xdr:col>5</xdr:col>
                    <xdr:colOff>47625</xdr:colOff>
                    <xdr:row>10</xdr:row>
                    <xdr:rowOff>57150</xdr:rowOff>
                  </from>
                  <to>
                    <xdr:col>5</xdr:col>
                    <xdr:colOff>1362075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SortBidders_ByAdjustedBid_v9_1">
                <anchor moveWithCells="1">
                  <from>
                    <xdr:col>5</xdr:col>
                    <xdr:colOff>1400175</xdr:colOff>
                    <xdr:row>10</xdr:row>
                    <xdr:rowOff>57150</xdr:rowOff>
                  </from>
                  <to>
                    <xdr:col>5</xdr:col>
                    <xdr:colOff>2581275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>
                <anchor moveWithCells="1">
                  <from>
                    <xdr:col>1</xdr:col>
                    <xdr:colOff>47625</xdr:colOff>
                    <xdr:row>17</xdr:row>
                    <xdr:rowOff>219075</xdr:rowOff>
                  </from>
                  <to>
                    <xdr:col>1</xdr:col>
                    <xdr:colOff>590550</xdr:colOff>
                    <xdr:row>17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Config_CSI</vt:lpstr>
      <vt:lpstr>TradeTemplate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Mick Willits</cp:lastModifiedBy>
  <dcterms:created xsi:type="dcterms:W3CDTF">2025-12-17T00:04:58Z</dcterms:created>
  <dcterms:modified xsi:type="dcterms:W3CDTF">2026-02-17T23:50:43Z</dcterms:modified>
</cp:coreProperties>
</file>